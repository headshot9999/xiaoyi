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甘特图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2">
    <font>
      <name val="Calibri"/>
      <family val="2"/>
      <color theme="1"/>
      <sz val="11"/>
      <scheme val="minor"/>
    </font>
    <font>
      <name val="微软雅黑"/>
      <b val="1"/>
      <color rgb="001F4E79"/>
      <sz val="10"/>
    </font>
    <font>
      <name val="微软雅黑"/>
      <b val="1"/>
      <color rgb="00C00000"/>
      <sz val="12"/>
    </font>
    <font>
      <name val="微软雅黑"/>
      <i val="1"/>
      <color rgb="00888888"/>
      <sz val="9"/>
    </font>
    <font>
      <name val="微软雅黑"/>
      <b val="1"/>
      <color rgb="00FFFFFF"/>
      <sz val="16"/>
    </font>
    <font>
      <name val="微软雅黑"/>
      <b val="1"/>
      <color rgb="00FFFFFF"/>
      <sz val="10"/>
    </font>
    <font>
      <name val="微软雅黑"/>
      <b val="1"/>
      <color rgb="00FFFFFF"/>
      <sz val="8"/>
    </font>
    <font>
      <name val="微软雅黑"/>
      <sz val="10"/>
    </font>
    <font>
      <name val="微软雅黑"/>
      <b val="1"/>
      <sz val="10"/>
    </font>
    <font>
      <color rgb="00FFFFFF"/>
      <sz val="1"/>
    </font>
    <font>
      <name val="微软雅黑"/>
      <sz val="9"/>
    </font>
    <font>
      <name val="微软雅黑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2F2F2"/>
        <bgColor rgb="00F2F2F2"/>
      </patternFill>
    </fill>
    <fill>
      <patternFill patternType="solid">
        <fgColor rgb="0070AD47"/>
        <bgColor rgb="0070AD47"/>
      </patternFill>
    </fill>
    <fill>
      <patternFill patternType="solid">
        <fgColor rgb="00BDD7EE"/>
        <bgColor rgb="00BDD7EE"/>
      </patternFill>
    </fill>
    <fill>
      <patternFill patternType="solid">
        <fgColor rgb="00FF6B6B"/>
        <bgColor rgb="00FF6B6B"/>
      </patternFill>
    </fill>
  </fills>
  <borders count="6">
    <border>
      <left/>
      <right/>
      <top/>
      <bottom/>
      <diagonal/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165" fontId="2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/>
    </xf>
    <xf numFmtId="0" fontId="0" fillId="0" borderId="5" pivotButton="0" quotePrefix="0" xfId="0"/>
    <xf numFmtId="0" fontId="6" fillId="5" borderId="2" applyAlignment="1" pivotButton="0" quotePrefix="0" xfId="0">
      <alignment horizontal="center" vertical="center"/>
    </xf>
    <xf numFmtId="164" fontId="0" fillId="0" borderId="0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165" fontId="7" fillId="0" borderId="2" applyAlignment="1" pivotButton="0" quotePrefix="0" xfId="0">
      <alignment horizontal="center" vertical="center"/>
    </xf>
    <xf numFmtId="9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left" vertical="center" wrapText="1"/>
    </xf>
    <xf numFmtId="165" fontId="7" fillId="6" borderId="2" applyAlignment="1" pivotButton="0" quotePrefix="0" xfId="0">
      <alignment horizontal="center" vertical="center"/>
    </xf>
    <xf numFmtId="0" fontId="8" fillId="0" borderId="0" pivotButton="0" quotePrefix="0" xfId="0"/>
    <xf numFmtId="0" fontId="0" fillId="4" borderId="2" pivotButton="0" quotePrefix="0" xfId="0"/>
    <xf numFmtId="0" fontId="10" fillId="0" borderId="0" applyAlignment="1" pivotButton="0" quotePrefix="0" xfId="0">
      <alignment vertical="center"/>
    </xf>
    <xf numFmtId="0" fontId="0" fillId="7" borderId="2" pivotButton="0" quotePrefix="0" xfId="0"/>
    <xf numFmtId="0" fontId="0" fillId="8" borderId="2" pivotButton="0" quotePrefix="0" xfId="0"/>
    <xf numFmtId="0" fontId="0" fillId="9" borderId="2" pivotButton="0" quotePrefix="0" xfId="0"/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9">
    <dxf>
      <fill>
        <patternFill patternType="solid">
          <fgColor rgb="002E75B6"/>
          <bgColor rgb="002E75B6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BDD7EE"/>
          <bgColor rgb="00BDD7EE"/>
        </patternFill>
      </fill>
    </dxf>
    <dxf>
      <font>
        <name val="微软雅黑"/>
        <color rgb="00FFFFFF"/>
        <sz val="9"/>
      </font>
      <fill>
        <patternFill patternType="solid">
          <fgColor rgb="002E75B6"/>
          <bgColor rgb="002E75B6"/>
        </patternFill>
      </fill>
    </dxf>
    <dxf>
      <font>
        <name val="微软雅黑"/>
        <color rgb="00FFFFFF"/>
        <sz val="9"/>
      </font>
      <fill>
        <patternFill patternType="solid">
          <fgColor rgb="0070AD47"/>
          <bgColor rgb="0070AD47"/>
        </patternFill>
      </fill>
    </dxf>
    <dxf>
      <font>
        <name val="微软雅黑"/>
        <color rgb="00333333"/>
        <sz val="9"/>
      </font>
      <fill>
        <patternFill patternType="solid">
          <fgColor rgb="00D9E2F3"/>
          <bgColor rgb="00D9E2F3"/>
        </patternFill>
      </fill>
    </dxf>
    <dxf>
      <font>
        <name val="微软雅黑"/>
        <b val="1"/>
        <color rgb="00FFFFFF"/>
        <sz val="10"/>
      </font>
      <fill>
        <patternFill patternType="solid">
          <fgColor rgb="002E75B6"/>
          <bgColor rgb="002E75B6"/>
        </patternFill>
      </fill>
    </dxf>
    <dxf>
      <font>
        <name val="微软雅黑"/>
        <b val="1"/>
        <color rgb="002E75B6"/>
        <sz val="10"/>
      </font>
      <fill>
        <patternFill patternType="solid">
          <fgColor rgb="00BDD7EE"/>
          <bgColor rgb="00BDD7EE"/>
        </patternFill>
      </fill>
    </dxf>
    <dxf>
      <font>
        <name val="微软雅黑"/>
        <b val="1"/>
        <color rgb="00FFFFFF"/>
        <sz val="8"/>
      </font>
      <fill>
        <patternFill patternType="solid">
          <fgColor rgb="00FF6B6B"/>
          <bgColor rgb="00FF6B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7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28" customWidth="1" min="3" max="3"/>
    <col width="14" customWidth="1" min="4" max="4"/>
    <col width="12" customWidth="1" min="5" max="5"/>
    <col width="12" customWidth="1" min="6" max="6"/>
    <col width="10" customWidth="1" min="7" max="7"/>
    <col width="10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 ht="35" customHeight="1">
      <c r="A1" s="1" t="inlineStr">
        <is>
          <t>📅 请输入当前日期：</t>
        </is>
      </c>
      <c r="C1" s="2" t="n">
        <v>46129</v>
      </c>
      <c r="D1" s="3" t="inlineStr">
        <is>
          <t>← 修改此日期，甘特图自动更新</t>
        </is>
      </c>
    </row>
    <row r="2" ht="40" customHeight="1">
      <c r="A2" s="4" t="inlineStr">
        <is>
          <t>项目甘特图 —— 2026年度项目推进计划</t>
        </is>
      </c>
    </row>
    <row r="3" ht="25" customHeight="1">
      <c r="A3" s="5" t="inlineStr">
        <is>
          <t>序号</t>
        </is>
      </c>
      <c r="B3" s="5" t="inlineStr">
        <is>
          <t>任务名称</t>
        </is>
      </c>
      <c r="C3" s="5" t="inlineStr">
        <is>
          <t>任务描述</t>
        </is>
      </c>
      <c r="D3" s="5" t="inlineStr">
        <is>
          <t>负责部门</t>
        </is>
      </c>
      <c r="E3" s="5" t="inlineStr">
        <is>
          <t>开始日期</t>
        </is>
      </c>
      <c r="F3" s="5" t="inlineStr">
        <is>
          <t>结束日期</t>
        </is>
      </c>
      <c r="G3" s="5" t="inlineStr">
        <is>
          <t>完成度</t>
        </is>
      </c>
      <c r="H3" s="5" t="inlineStr">
        <is>
          <t>状态</t>
        </is>
      </c>
      <c r="I3" s="6" t="inlineStr">
        <is>
          <t>4月</t>
        </is>
      </c>
      <c r="M3" s="6" t="inlineStr">
        <is>
          <t>5月</t>
        </is>
      </c>
      <c r="Q3" s="6" t="inlineStr">
        <is>
          <t>6月</t>
        </is>
      </c>
      <c r="U3" s="6" t="inlineStr">
        <is>
          <t>7月</t>
        </is>
      </c>
      <c r="Y3" s="6" t="inlineStr">
        <is>
          <t>8月</t>
        </is>
      </c>
      <c r="AC3" s="6" t="inlineStr">
        <is>
          <t>9月</t>
        </is>
      </c>
    </row>
    <row r="4" ht="22" customHeight="1">
      <c r="A4" s="7" t="n"/>
      <c r="B4" s="7" t="n"/>
      <c r="C4" s="7" t="n"/>
      <c r="D4" s="7" t="n"/>
      <c r="E4" s="7" t="n"/>
      <c r="F4" s="7" t="n"/>
      <c r="G4" s="7" t="n"/>
      <c r="H4" s="7" t="n"/>
      <c r="I4" s="8" t="inlineStr">
        <is>
          <t>W1</t>
        </is>
      </c>
      <c r="J4" s="8" t="inlineStr">
        <is>
          <t>W2</t>
        </is>
      </c>
      <c r="K4" s="8" t="inlineStr">
        <is>
          <t>W3</t>
        </is>
      </c>
      <c r="L4" s="8" t="inlineStr">
        <is>
          <t>W4</t>
        </is>
      </c>
      <c r="M4" s="8" t="inlineStr">
        <is>
          <t>W1</t>
        </is>
      </c>
      <c r="N4" s="8" t="inlineStr">
        <is>
          <t>W2</t>
        </is>
      </c>
      <c r="O4" s="8" t="inlineStr">
        <is>
          <t>W3</t>
        </is>
      </c>
      <c r="P4" s="8" t="inlineStr">
        <is>
          <t>W4</t>
        </is>
      </c>
      <c r="Q4" s="8" t="inlineStr">
        <is>
          <t>W1</t>
        </is>
      </c>
      <c r="R4" s="8" t="inlineStr">
        <is>
          <t>W2</t>
        </is>
      </c>
      <c r="S4" s="8" t="inlineStr">
        <is>
          <t>W3</t>
        </is>
      </c>
      <c r="T4" s="8" t="inlineStr">
        <is>
          <t>W4</t>
        </is>
      </c>
      <c r="U4" s="8" t="inlineStr">
        <is>
          <t>W1</t>
        </is>
      </c>
      <c r="V4" s="8" t="inlineStr">
        <is>
          <t>W2</t>
        </is>
      </c>
      <c r="W4" s="8" t="inlineStr">
        <is>
          <t>W3</t>
        </is>
      </c>
      <c r="X4" s="8" t="inlineStr">
        <is>
          <t>W4</t>
        </is>
      </c>
      <c r="Y4" s="8" t="inlineStr">
        <is>
          <t>W1</t>
        </is>
      </c>
      <c r="Z4" s="8" t="inlineStr">
        <is>
          <t>W2</t>
        </is>
      </c>
      <c r="AA4" s="8" t="inlineStr">
        <is>
          <t>W3</t>
        </is>
      </c>
      <c r="AB4" s="8" t="inlineStr">
        <is>
          <t>W4</t>
        </is>
      </c>
      <c r="AC4" s="8" t="inlineStr">
        <is>
          <t>W1</t>
        </is>
      </c>
      <c r="AD4" s="8" t="inlineStr">
        <is>
          <t>W2</t>
        </is>
      </c>
      <c r="AE4" s="8" t="inlineStr">
        <is>
          <t>W3</t>
        </is>
      </c>
      <c r="AF4" s="8" t="inlineStr">
        <is>
          <t>W4</t>
        </is>
      </c>
    </row>
    <row r="5" hidden="1" ht="0.5" customHeight="1">
      <c r="I5" s="9" t="n">
        <v>46113</v>
      </c>
      <c r="J5" s="9" t="n">
        <v>46120</v>
      </c>
      <c r="K5" s="9" t="n">
        <v>46128</v>
      </c>
      <c r="L5" s="9" t="n">
        <v>46135</v>
      </c>
      <c r="M5" s="9" t="n">
        <v>46143</v>
      </c>
      <c r="N5" s="9" t="n">
        <v>46150</v>
      </c>
      <c r="O5" s="9" t="n">
        <v>46158</v>
      </c>
      <c r="P5" s="9" t="n">
        <v>46166</v>
      </c>
      <c r="Q5" s="9" t="n">
        <v>46174</v>
      </c>
      <c r="R5" s="9" t="n">
        <v>46181</v>
      </c>
      <c r="S5" s="9" t="n">
        <v>46189</v>
      </c>
      <c r="T5" s="9" t="n">
        <v>46196</v>
      </c>
      <c r="U5" s="9" t="n">
        <v>46204</v>
      </c>
      <c r="V5" s="9" t="n">
        <v>46211</v>
      </c>
      <c r="W5" s="9" t="n">
        <v>46219</v>
      </c>
      <c r="X5" s="9" t="n">
        <v>46227</v>
      </c>
      <c r="Y5" s="9" t="n">
        <v>46235</v>
      </c>
      <c r="Z5" s="9" t="n">
        <v>46242</v>
      </c>
      <c r="AA5" s="9" t="n">
        <v>46250</v>
      </c>
      <c r="AB5" s="9" t="n">
        <v>46258</v>
      </c>
      <c r="AC5" s="9" t="n">
        <v>46266</v>
      </c>
      <c r="AD5" s="9" t="n">
        <v>46273</v>
      </c>
      <c r="AE5" s="9" t="n">
        <v>46281</v>
      </c>
      <c r="AF5" s="9" t="n">
        <v>46288</v>
      </c>
    </row>
    <row r="6" hidden="1" ht="0.5" customHeight="1">
      <c r="I6" s="9" t="n">
        <v>46119</v>
      </c>
      <c r="J6" s="9" t="n">
        <v>46127</v>
      </c>
      <c r="K6" s="9" t="n">
        <v>46134</v>
      </c>
      <c r="L6" s="9" t="n">
        <v>46142</v>
      </c>
      <c r="M6" s="9" t="n">
        <v>46149</v>
      </c>
      <c r="N6" s="9" t="n">
        <v>46157</v>
      </c>
      <c r="O6" s="9" t="n">
        <v>46165</v>
      </c>
      <c r="P6" s="9" t="n">
        <v>46173</v>
      </c>
      <c r="Q6" s="9" t="n">
        <v>46180</v>
      </c>
      <c r="R6" s="9" t="n">
        <v>46188</v>
      </c>
      <c r="S6" s="9" t="n">
        <v>46195</v>
      </c>
      <c r="T6" s="9" t="n">
        <v>46203</v>
      </c>
      <c r="U6" s="9" t="n">
        <v>46210</v>
      </c>
      <c r="V6" s="9" t="n">
        <v>46218</v>
      </c>
      <c r="W6" s="9" t="n">
        <v>46226</v>
      </c>
      <c r="X6" s="9" t="n">
        <v>46234</v>
      </c>
      <c r="Y6" s="9" t="n">
        <v>46241</v>
      </c>
      <c r="Z6" s="9" t="n">
        <v>46249</v>
      </c>
      <c r="AA6" s="9" t="n">
        <v>46257</v>
      </c>
      <c r="AB6" s="9" t="n">
        <v>46265</v>
      </c>
      <c r="AC6" s="9" t="n">
        <v>46272</v>
      </c>
      <c r="AD6" s="9" t="n">
        <v>46280</v>
      </c>
      <c r="AE6" s="9" t="n">
        <v>46287</v>
      </c>
      <c r="AF6" s="9" t="n">
        <v>46295</v>
      </c>
    </row>
    <row r="7" ht="32" customHeight="1">
      <c r="A7" s="10" t="n">
        <v>1</v>
      </c>
      <c r="B7" s="11" t="inlineStr">
        <is>
          <t>供应商考察</t>
        </is>
      </c>
      <c r="C7" s="12" t="inlineStr">
        <is>
          <t>联系项目经理，到公司交流考察</t>
        </is>
      </c>
      <c r="D7" s="10" t="inlineStr">
        <is>
          <t>采购部</t>
        </is>
      </c>
      <c r="E7" s="13" t="n">
        <v>46113</v>
      </c>
      <c r="F7" s="13" t="n">
        <v>46142</v>
      </c>
      <c r="G7" s="14">
        <f>IF($C$1="",0,IF($C$1&lt;$E$7,0,IF($C$1&gt;=$F$7,1,($C$1-$E$7)/($F$7-$E$7))))</f>
        <v/>
      </c>
      <c r="H7" s="10">
        <f>IF($G$7&gt;=1,"已完成",IF($G$7&gt;0,"进行中","未开始"))</f>
        <v/>
      </c>
      <c r="I7" s="15">
        <f>IF(OR(I$5&gt;$F$7,I$6&lt;$E$7),0,IF($C$1="",3,IF($C$1&gt;I$6,1,IF(AND($C$1&gt;=I$5,$C$1&lt;=I$6),2,3))))</f>
        <v/>
      </c>
      <c r="J7" s="15">
        <f>IF(OR(J$5&gt;$F$7,J$6&lt;$E$7),0,IF($C$1="",3,IF($C$1&gt;J$6,1,IF(AND($C$1&gt;=J$5,$C$1&lt;=J$6),2,3))))</f>
        <v/>
      </c>
      <c r="K7" s="15">
        <f>IF(OR(K$5&gt;$F$7,K$6&lt;$E$7),0,IF($C$1="",3,IF($C$1&gt;K$6,1,IF(AND($C$1&gt;=K$5,$C$1&lt;=K$6),2,3))))</f>
        <v/>
      </c>
      <c r="L7" s="15">
        <f>IF(OR(L$5&gt;$F$7,L$6&lt;$E$7),0,IF($C$1="",3,IF($C$1&gt;L$6,1,IF(AND($C$1&gt;=L$5,$C$1&lt;=L$6),2,3))))</f>
        <v/>
      </c>
      <c r="M7" s="15">
        <f>IF(OR(M$5&gt;$F$7,M$6&lt;$E$7),0,IF($C$1="",3,IF($C$1&gt;M$6,1,IF(AND($C$1&gt;=M$5,$C$1&lt;=M$6),2,3))))</f>
        <v/>
      </c>
      <c r="N7" s="15">
        <f>IF(OR(N$5&gt;$F$7,N$6&lt;$E$7),0,IF($C$1="",3,IF($C$1&gt;N$6,1,IF(AND($C$1&gt;=N$5,$C$1&lt;=N$6),2,3))))</f>
        <v/>
      </c>
      <c r="O7" s="15">
        <f>IF(OR(O$5&gt;$F$7,O$6&lt;$E$7),0,IF($C$1="",3,IF($C$1&gt;O$6,1,IF(AND($C$1&gt;=O$5,$C$1&lt;=O$6),2,3))))</f>
        <v/>
      </c>
      <c r="P7" s="15">
        <f>IF(OR(P$5&gt;$F$7,P$6&lt;$E$7),0,IF($C$1="",3,IF($C$1&gt;P$6,1,IF(AND($C$1&gt;=P$5,$C$1&lt;=P$6),2,3))))</f>
        <v/>
      </c>
      <c r="Q7" s="15">
        <f>IF(OR(Q$5&gt;$F$7,Q$6&lt;$E$7),0,IF($C$1="",3,IF($C$1&gt;Q$6,1,IF(AND($C$1&gt;=Q$5,$C$1&lt;=Q$6),2,3))))</f>
        <v/>
      </c>
      <c r="R7" s="15">
        <f>IF(OR(R$5&gt;$F$7,R$6&lt;$E$7),0,IF($C$1="",3,IF($C$1&gt;R$6,1,IF(AND($C$1&gt;=R$5,$C$1&lt;=R$6),2,3))))</f>
        <v/>
      </c>
      <c r="S7" s="15">
        <f>IF(OR(S$5&gt;$F$7,S$6&lt;$E$7),0,IF($C$1="",3,IF($C$1&gt;S$6,1,IF(AND($C$1&gt;=S$5,$C$1&lt;=S$6),2,3))))</f>
        <v/>
      </c>
      <c r="T7" s="15">
        <f>IF(OR(T$5&gt;$F$7,T$6&lt;$E$7),0,IF($C$1="",3,IF($C$1&gt;T$6,1,IF(AND($C$1&gt;=T$5,$C$1&lt;=T$6),2,3))))</f>
        <v/>
      </c>
      <c r="U7" s="15">
        <f>IF(OR(U$5&gt;$F$7,U$6&lt;$E$7),0,IF($C$1="",3,IF($C$1&gt;U$6,1,IF(AND($C$1&gt;=U$5,$C$1&lt;=U$6),2,3))))</f>
        <v/>
      </c>
      <c r="V7" s="15">
        <f>IF(OR(V$5&gt;$F$7,V$6&lt;$E$7),0,IF($C$1="",3,IF($C$1&gt;V$6,1,IF(AND($C$1&gt;=V$5,$C$1&lt;=V$6),2,3))))</f>
        <v/>
      </c>
      <c r="W7" s="15">
        <f>IF(OR(W$5&gt;$F$7,W$6&lt;$E$7),0,IF($C$1="",3,IF($C$1&gt;W$6,1,IF(AND($C$1&gt;=W$5,$C$1&lt;=W$6),2,3))))</f>
        <v/>
      </c>
      <c r="X7" s="15">
        <f>IF(OR(X$5&gt;$F$7,X$6&lt;$E$7),0,IF($C$1="",3,IF($C$1&gt;X$6,1,IF(AND($C$1&gt;=X$5,$C$1&lt;=X$6),2,3))))</f>
        <v/>
      </c>
      <c r="Y7" s="15">
        <f>IF(OR(Y$5&gt;$F$7,Y$6&lt;$E$7),0,IF($C$1="",3,IF($C$1&gt;Y$6,1,IF(AND($C$1&gt;=Y$5,$C$1&lt;=Y$6),2,3))))</f>
        <v/>
      </c>
      <c r="Z7" s="15">
        <f>IF(OR(Z$5&gt;$F$7,Z$6&lt;$E$7),0,IF($C$1="",3,IF($C$1&gt;Z$6,1,IF(AND($C$1&gt;=Z$5,$C$1&lt;=Z$6),2,3))))</f>
        <v/>
      </c>
      <c r="AA7" s="15">
        <f>IF(OR(AA$5&gt;$F$7,AA$6&lt;$E$7),0,IF($C$1="",3,IF($C$1&gt;AA$6,1,IF(AND($C$1&gt;=AA$5,$C$1&lt;=AA$6),2,3))))</f>
        <v/>
      </c>
      <c r="AB7" s="15">
        <f>IF(OR(AB$5&gt;$F$7,AB$6&lt;$E$7),0,IF($C$1="",3,IF($C$1&gt;AB$6,1,IF(AND($C$1&gt;=AB$5,$C$1&lt;=AB$6),2,3))))</f>
        <v/>
      </c>
      <c r="AC7" s="15">
        <f>IF(OR(AC$5&gt;$F$7,AC$6&lt;$E$7),0,IF($C$1="",3,IF($C$1&gt;AC$6,1,IF(AND($C$1&gt;=AC$5,$C$1&lt;=AC$6),2,3))))</f>
        <v/>
      </c>
      <c r="AD7" s="15">
        <f>IF(OR(AD$5&gt;$F$7,AD$6&lt;$E$7),0,IF($C$1="",3,IF($C$1&gt;AD$6,1,IF(AND($C$1&gt;=AD$5,$C$1&lt;=AD$6),2,3))))</f>
        <v/>
      </c>
      <c r="AE7" s="15">
        <f>IF(OR(AE$5&gt;$F$7,AE$6&lt;$E$7),0,IF($C$1="",3,IF($C$1&gt;AE$6,1,IF(AND($C$1&gt;=AE$5,$C$1&lt;=AE$6),2,3))))</f>
        <v/>
      </c>
      <c r="AF7" s="15">
        <f>IF(OR(AF$5&gt;$F$7,AF$6&lt;$E$7),0,IF($C$1="",3,IF($C$1&gt;AF$6,1,IF(AND($C$1&gt;=AF$5,$C$1&lt;=AF$6),2,3))))</f>
        <v/>
      </c>
    </row>
    <row r="8" ht="32" customHeight="1">
      <c r="A8" s="16" t="n">
        <v>2</v>
      </c>
      <c r="B8" s="17" t="inlineStr">
        <is>
          <t>合同签订</t>
        </is>
      </c>
      <c r="C8" s="18" t="inlineStr">
        <is>
          <t>完成合同签订流程</t>
        </is>
      </c>
      <c r="D8" s="16" t="inlineStr">
        <is>
          <t>采购部/法务</t>
        </is>
      </c>
      <c r="E8" s="19" t="n">
        <v>46143</v>
      </c>
      <c r="F8" s="19" t="n">
        <v>46173</v>
      </c>
      <c r="G8" s="14">
        <f>IF($C$1="",0,IF($C$1&lt;$E$8,0,IF($C$1&gt;=$F$8,1,($C$1-$E$8)/($F$8-$E$8))))</f>
        <v/>
      </c>
      <c r="H8" s="10">
        <f>IF($G$8&gt;=1,"已完成",IF($G$8&gt;0,"进行中","未开始"))</f>
        <v/>
      </c>
      <c r="I8" s="15">
        <f>IF(OR(I$5&gt;$F$8,I$6&lt;$E$8),0,IF($C$1="",3,IF($C$1&gt;I$6,1,IF(AND($C$1&gt;=I$5,$C$1&lt;=I$6),2,3))))</f>
        <v/>
      </c>
      <c r="J8" s="15">
        <f>IF(OR(J$5&gt;$F$8,J$6&lt;$E$8),0,IF($C$1="",3,IF($C$1&gt;J$6,1,IF(AND($C$1&gt;=J$5,$C$1&lt;=J$6),2,3))))</f>
        <v/>
      </c>
      <c r="K8" s="15">
        <f>IF(OR(K$5&gt;$F$8,K$6&lt;$E$8),0,IF($C$1="",3,IF($C$1&gt;K$6,1,IF(AND($C$1&gt;=K$5,$C$1&lt;=K$6),2,3))))</f>
        <v/>
      </c>
      <c r="L8" s="15">
        <f>IF(OR(L$5&gt;$F$8,L$6&lt;$E$8),0,IF($C$1="",3,IF($C$1&gt;L$6,1,IF(AND($C$1&gt;=L$5,$C$1&lt;=L$6),2,3))))</f>
        <v/>
      </c>
      <c r="M8" s="15">
        <f>IF(OR(M$5&gt;$F$8,M$6&lt;$E$8),0,IF($C$1="",3,IF($C$1&gt;M$6,1,IF(AND($C$1&gt;=M$5,$C$1&lt;=M$6),2,3))))</f>
        <v/>
      </c>
      <c r="N8" s="15">
        <f>IF(OR(N$5&gt;$F$8,N$6&lt;$E$8),0,IF($C$1="",3,IF($C$1&gt;N$6,1,IF(AND($C$1&gt;=N$5,$C$1&lt;=N$6),2,3))))</f>
        <v/>
      </c>
      <c r="O8" s="15">
        <f>IF(OR(O$5&gt;$F$8,O$6&lt;$E$8),0,IF($C$1="",3,IF($C$1&gt;O$6,1,IF(AND($C$1&gt;=O$5,$C$1&lt;=O$6),2,3))))</f>
        <v/>
      </c>
      <c r="P8" s="15">
        <f>IF(OR(P$5&gt;$F$8,P$6&lt;$E$8),0,IF($C$1="",3,IF($C$1&gt;P$6,1,IF(AND($C$1&gt;=P$5,$C$1&lt;=P$6),2,3))))</f>
        <v/>
      </c>
      <c r="Q8" s="15">
        <f>IF(OR(Q$5&gt;$F$8,Q$6&lt;$E$8),0,IF($C$1="",3,IF($C$1&gt;Q$6,1,IF(AND($C$1&gt;=Q$5,$C$1&lt;=Q$6),2,3))))</f>
        <v/>
      </c>
      <c r="R8" s="15">
        <f>IF(OR(R$5&gt;$F$8,R$6&lt;$E$8),0,IF($C$1="",3,IF($C$1&gt;R$6,1,IF(AND($C$1&gt;=R$5,$C$1&lt;=R$6),2,3))))</f>
        <v/>
      </c>
      <c r="S8" s="15">
        <f>IF(OR(S$5&gt;$F$8,S$6&lt;$E$8),0,IF($C$1="",3,IF($C$1&gt;S$6,1,IF(AND($C$1&gt;=S$5,$C$1&lt;=S$6),2,3))))</f>
        <v/>
      </c>
      <c r="T8" s="15">
        <f>IF(OR(T$5&gt;$F$8,T$6&lt;$E$8),0,IF($C$1="",3,IF($C$1&gt;T$6,1,IF(AND($C$1&gt;=T$5,$C$1&lt;=T$6),2,3))))</f>
        <v/>
      </c>
      <c r="U8" s="15">
        <f>IF(OR(U$5&gt;$F$8,U$6&lt;$E$8),0,IF($C$1="",3,IF($C$1&gt;U$6,1,IF(AND($C$1&gt;=U$5,$C$1&lt;=U$6),2,3))))</f>
        <v/>
      </c>
      <c r="V8" s="15">
        <f>IF(OR(V$5&gt;$F$8,V$6&lt;$E$8),0,IF($C$1="",3,IF($C$1&gt;V$6,1,IF(AND($C$1&gt;=V$5,$C$1&lt;=V$6),2,3))))</f>
        <v/>
      </c>
      <c r="W8" s="15">
        <f>IF(OR(W$5&gt;$F$8,W$6&lt;$E$8),0,IF($C$1="",3,IF($C$1&gt;W$6,1,IF(AND($C$1&gt;=W$5,$C$1&lt;=W$6),2,3))))</f>
        <v/>
      </c>
      <c r="X8" s="15">
        <f>IF(OR(X$5&gt;$F$8,X$6&lt;$E$8),0,IF($C$1="",3,IF($C$1&gt;X$6,1,IF(AND($C$1&gt;=X$5,$C$1&lt;=X$6),2,3))))</f>
        <v/>
      </c>
      <c r="Y8" s="15">
        <f>IF(OR(Y$5&gt;$F$8,Y$6&lt;$E$8),0,IF($C$1="",3,IF($C$1&gt;Y$6,1,IF(AND($C$1&gt;=Y$5,$C$1&lt;=Y$6),2,3))))</f>
        <v/>
      </c>
      <c r="Z8" s="15">
        <f>IF(OR(Z$5&gt;$F$8,Z$6&lt;$E$8),0,IF($C$1="",3,IF($C$1&gt;Z$6,1,IF(AND($C$1&gt;=Z$5,$C$1&lt;=Z$6),2,3))))</f>
        <v/>
      </c>
      <c r="AA8" s="15">
        <f>IF(OR(AA$5&gt;$F$8,AA$6&lt;$E$8),0,IF($C$1="",3,IF($C$1&gt;AA$6,1,IF(AND($C$1&gt;=AA$5,$C$1&lt;=AA$6),2,3))))</f>
        <v/>
      </c>
      <c r="AB8" s="15">
        <f>IF(OR(AB$5&gt;$F$8,AB$6&lt;$E$8),0,IF($C$1="",3,IF($C$1&gt;AB$6,1,IF(AND($C$1&gt;=AB$5,$C$1&lt;=AB$6),2,3))))</f>
        <v/>
      </c>
      <c r="AC8" s="15">
        <f>IF(OR(AC$5&gt;$F$8,AC$6&lt;$E$8),0,IF($C$1="",3,IF($C$1&gt;AC$6,1,IF(AND($C$1&gt;=AC$5,$C$1&lt;=AC$6),2,3))))</f>
        <v/>
      </c>
      <c r="AD8" s="15">
        <f>IF(OR(AD$5&gt;$F$8,AD$6&lt;$E$8),0,IF($C$1="",3,IF($C$1&gt;AD$6,1,IF(AND($C$1&gt;=AD$5,$C$1&lt;=AD$6),2,3))))</f>
        <v/>
      </c>
      <c r="AE8" s="15">
        <f>IF(OR(AE$5&gt;$F$8,AE$6&lt;$E$8),0,IF($C$1="",3,IF($C$1&gt;AE$6,1,IF(AND($C$1&gt;=AE$5,$C$1&lt;=AE$6),2,3))))</f>
        <v/>
      </c>
      <c r="AF8" s="15">
        <f>IF(OR(AF$5&gt;$F$8,AF$6&lt;$E$8),0,IF($C$1="",3,IF($C$1&gt;AF$6,1,IF(AND($C$1&gt;=AF$5,$C$1&lt;=AF$6),2,3))))</f>
        <v/>
      </c>
    </row>
    <row r="9" ht="32" customHeight="1">
      <c r="A9" s="10" t="n">
        <v>3</v>
      </c>
      <c r="B9" s="11" t="inlineStr">
        <is>
          <t>开发工作</t>
        </is>
      </c>
      <c r="C9" s="12" t="inlineStr">
        <is>
          <t>系统开发与功能实现</t>
        </is>
      </c>
      <c r="D9" s="10" t="inlineStr">
        <is>
          <t>开发部</t>
        </is>
      </c>
      <c r="E9" s="13" t="n">
        <v>46174</v>
      </c>
      <c r="F9" s="13" t="n">
        <v>46234</v>
      </c>
      <c r="G9" s="14">
        <f>IF($C$1="",0,IF($C$1&lt;$E$9,0,IF($C$1&gt;=$F$9,1,($C$1-$E$9)/($F$9-$E$9))))</f>
        <v/>
      </c>
      <c r="H9" s="10">
        <f>IF($G$9&gt;=1,"已完成",IF($G$9&gt;0,"进行中","未开始"))</f>
        <v/>
      </c>
      <c r="I9" s="15">
        <f>IF(OR(I$5&gt;$F$9,I$6&lt;$E$9),0,IF($C$1="",3,IF($C$1&gt;I$6,1,IF(AND($C$1&gt;=I$5,$C$1&lt;=I$6),2,3))))</f>
        <v/>
      </c>
      <c r="J9" s="15">
        <f>IF(OR(J$5&gt;$F$9,J$6&lt;$E$9),0,IF($C$1="",3,IF($C$1&gt;J$6,1,IF(AND($C$1&gt;=J$5,$C$1&lt;=J$6),2,3))))</f>
        <v/>
      </c>
      <c r="K9" s="15">
        <f>IF(OR(K$5&gt;$F$9,K$6&lt;$E$9),0,IF($C$1="",3,IF($C$1&gt;K$6,1,IF(AND($C$1&gt;=K$5,$C$1&lt;=K$6),2,3))))</f>
        <v/>
      </c>
      <c r="L9" s="15">
        <f>IF(OR(L$5&gt;$F$9,L$6&lt;$E$9),0,IF($C$1="",3,IF($C$1&gt;L$6,1,IF(AND($C$1&gt;=L$5,$C$1&lt;=L$6),2,3))))</f>
        <v/>
      </c>
      <c r="M9" s="15">
        <f>IF(OR(M$5&gt;$F$9,M$6&lt;$E$9),0,IF($C$1="",3,IF($C$1&gt;M$6,1,IF(AND($C$1&gt;=M$5,$C$1&lt;=M$6),2,3))))</f>
        <v/>
      </c>
      <c r="N9" s="15">
        <f>IF(OR(N$5&gt;$F$9,N$6&lt;$E$9),0,IF($C$1="",3,IF($C$1&gt;N$6,1,IF(AND($C$1&gt;=N$5,$C$1&lt;=N$6),2,3))))</f>
        <v/>
      </c>
      <c r="O9" s="15">
        <f>IF(OR(O$5&gt;$F$9,O$6&lt;$E$9),0,IF($C$1="",3,IF($C$1&gt;O$6,1,IF(AND($C$1&gt;=O$5,$C$1&lt;=O$6),2,3))))</f>
        <v/>
      </c>
      <c r="P9" s="15">
        <f>IF(OR(P$5&gt;$F$9,P$6&lt;$E$9),0,IF($C$1="",3,IF($C$1&gt;P$6,1,IF(AND($C$1&gt;=P$5,$C$1&lt;=P$6),2,3))))</f>
        <v/>
      </c>
      <c r="Q9" s="15">
        <f>IF(OR(Q$5&gt;$F$9,Q$6&lt;$E$9),0,IF($C$1="",3,IF($C$1&gt;Q$6,1,IF(AND($C$1&gt;=Q$5,$C$1&lt;=Q$6),2,3))))</f>
        <v/>
      </c>
      <c r="R9" s="15">
        <f>IF(OR(R$5&gt;$F$9,R$6&lt;$E$9),0,IF($C$1="",3,IF($C$1&gt;R$6,1,IF(AND($C$1&gt;=R$5,$C$1&lt;=R$6),2,3))))</f>
        <v/>
      </c>
      <c r="S9" s="15">
        <f>IF(OR(S$5&gt;$F$9,S$6&lt;$E$9),0,IF($C$1="",3,IF($C$1&gt;S$6,1,IF(AND($C$1&gt;=S$5,$C$1&lt;=S$6),2,3))))</f>
        <v/>
      </c>
      <c r="T9" s="15">
        <f>IF(OR(T$5&gt;$F$9,T$6&lt;$E$9),0,IF($C$1="",3,IF($C$1&gt;T$6,1,IF(AND($C$1&gt;=T$5,$C$1&lt;=T$6),2,3))))</f>
        <v/>
      </c>
      <c r="U9" s="15">
        <f>IF(OR(U$5&gt;$F$9,U$6&lt;$E$9),0,IF($C$1="",3,IF($C$1&gt;U$6,1,IF(AND($C$1&gt;=U$5,$C$1&lt;=U$6),2,3))))</f>
        <v/>
      </c>
      <c r="V9" s="15">
        <f>IF(OR(V$5&gt;$F$9,V$6&lt;$E$9),0,IF($C$1="",3,IF($C$1&gt;V$6,1,IF(AND($C$1&gt;=V$5,$C$1&lt;=V$6),2,3))))</f>
        <v/>
      </c>
      <c r="W9" s="15">
        <f>IF(OR(W$5&gt;$F$9,W$6&lt;$E$9),0,IF($C$1="",3,IF($C$1&gt;W$6,1,IF(AND($C$1&gt;=W$5,$C$1&lt;=W$6),2,3))))</f>
        <v/>
      </c>
      <c r="X9" s="15">
        <f>IF(OR(X$5&gt;$F$9,X$6&lt;$E$9),0,IF($C$1="",3,IF($C$1&gt;X$6,1,IF(AND($C$1&gt;=X$5,$C$1&lt;=X$6),2,3))))</f>
        <v/>
      </c>
      <c r="Y9" s="15">
        <f>IF(OR(Y$5&gt;$F$9,Y$6&lt;$E$9),0,IF($C$1="",3,IF($C$1&gt;Y$6,1,IF(AND($C$1&gt;=Y$5,$C$1&lt;=Y$6),2,3))))</f>
        <v/>
      </c>
      <c r="Z9" s="15">
        <f>IF(OR(Z$5&gt;$F$9,Z$6&lt;$E$9),0,IF($C$1="",3,IF($C$1&gt;Z$6,1,IF(AND($C$1&gt;=Z$5,$C$1&lt;=Z$6),2,3))))</f>
        <v/>
      </c>
      <c r="AA9" s="15">
        <f>IF(OR(AA$5&gt;$F$9,AA$6&lt;$E$9),0,IF($C$1="",3,IF($C$1&gt;AA$6,1,IF(AND($C$1&gt;=AA$5,$C$1&lt;=AA$6),2,3))))</f>
        <v/>
      </c>
      <c r="AB9" s="15">
        <f>IF(OR(AB$5&gt;$F$9,AB$6&lt;$E$9),0,IF($C$1="",3,IF($C$1&gt;AB$6,1,IF(AND($C$1&gt;=AB$5,$C$1&lt;=AB$6),2,3))))</f>
        <v/>
      </c>
      <c r="AC9" s="15">
        <f>IF(OR(AC$5&gt;$F$9,AC$6&lt;$E$9),0,IF($C$1="",3,IF($C$1&gt;AC$6,1,IF(AND($C$1&gt;=AC$5,$C$1&lt;=AC$6),2,3))))</f>
        <v/>
      </c>
      <c r="AD9" s="15">
        <f>IF(OR(AD$5&gt;$F$9,AD$6&lt;$E$9),0,IF($C$1="",3,IF($C$1&gt;AD$6,1,IF(AND($C$1&gt;=AD$5,$C$1&lt;=AD$6),2,3))))</f>
        <v/>
      </c>
      <c r="AE9" s="15">
        <f>IF(OR(AE$5&gt;$F$9,AE$6&lt;$E$9),0,IF($C$1="",3,IF($C$1&gt;AE$6,1,IF(AND($C$1&gt;=AE$5,$C$1&lt;=AE$6),2,3))))</f>
        <v/>
      </c>
      <c r="AF9" s="15">
        <f>IF(OR(AF$5&gt;$F$9,AF$6&lt;$E$9),0,IF($C$1="",3,IF($C$1&gt;AF$6,1,IF(AND($C$1&gt;=AF$5,$C$1&lt;=AF$6),2,3))))</f>
        <v/>
      </c>
    </row>
    <row r="10" ht="32" customHeight="1">
      <c r="A10" s="16" t="n">
        <v>4</v>
      </c>
      <c r="B10" s="17" t="inlineStr">
        <is>
          <t>系统测试及运营反馈</t>
        </is>
      </c>
      <c r="C10" s="18" t="inlineStr">
        <is>
          <t>系统测试、运营反馈与优化</t>
        </is>
      </c>
      <c r="D10" s="16" t="inlineStr">
        <is>
          <t>测试/运营部</t>
        </is>
      </c>
      <c r="E10" s="19" t="n">
        <v>46235</v>
      </c>
      <c r="F10" s="19" t="n">
        <v>46295</v>
      </c>
      <c r="G10" s="14">
        <f>IF($C$1="",0,IF($C$1&lt;$E$10,0,IF($C$1&gt;=$F$10,1,($C$1-$E$10)/($F$10-$E$10))))</f>
        <v/>
      </c>
      <c r="H10" s="10">
        <f>IF($G$10&gt;=1,"已完成",IF($G$10&gt;0,"进行中","未开始"))</f>
        <v/>
      </c>
      <c r="I10" s="15">
        <f>IF(OR(I$5&gt;$F$10,I$6&lt;$E$10),0,IF($C$1="",3,IF($C$1&gt;I$6,1,IF(AND($C$1&gt;=I$5,$C$1&lt;=I$6),2,3))))</f>
        <v/>
      </c>
      <c r="J10" s="15">
        <f>IF(OR(J$5&gt;$F$10,J$6&lt;$E$10),0,IF($C$1="",3,IF($C$1&gt;J$6,1,IF(AND($C$1&gt;=J$5,$C$1&lt;=J$6),2,3))))</f>
        <v/>
      </c>
      <c r="K10" s="15">
        <f>IF(OR(K$5&gt;$F$10,K$6&lt;$E$10),0,IF($C$1="",3,IF($C$1&gt;K$6,1,IF(AND($C$1&gt;=K$5,$C$1&lt;=K$6),2,3))))</f>
        <v/>
      </c>
      <c r="L10" s="15">
        <f>IF(OR(L$5&gt;$F$10,L$6&lt;$E$10),0,IF($C$1="",3,IF($C$1&gt;L$6,1,IF(AND($C$1&gt;=L$5,$C$1&lt;=L$6),2,3))))</f>
        <v/>
      </c>
      <c r="M10" s="15">
        <f>IF(OR(M$5&gt;$F$10,M$6&lt;$E$10),0,IF($C$1="",3,IF($C$1&gt;M$6,1,IF(AND($C$1&gt;=M$5,$C$1&lt;=M$6),2,3))))</f>
        <v/>
      </c>
      <c r="N10" s="15">
        <f>IF(OR(N$5&gt;$F$10,N$6&lt;$E$10),0,IF($C$1="",3,IF($C$1&gt;N$6,1,IF(AND($C$1&gt;=N$5,$C$1&lt;=N$6),2,3))))</f>
        <v/>
      </c>
      <c r="O10" s="15">
        <f>IF(OR(O$5&gt;$F$10,O$6&lt;$E$10),0,IF($C$1="",3,IF($C$1&gt;O$6,1,IF(AND($C$1&gt;=O$5,$C$1&lt;=O$6),2,3))))</f>
        <v/>
      </c>
      <c r="P10" s="15">
        <f>IF(OR(P$5&gt;$F$10,P$6&lt;$E$10),0,IF($C$1="",3,IF($C$1&gt;P$6,1,IF(AND($C$1&gt;=P$5,$C$1&lt;=P$6),2,3))))</f>
        <v/>
      </c>
      <c r="Q10" s="15">
        <f>IF(OR(Q$5&gt;$F$10,Q$6&lt;$E$10),0,IF($C$1="",3,IF($C$1&gt;Q$6,1,IF(AND($C$1&gt;=Q$5,$C$1&lt;=Q$6),2,3))))</f>
        <v/>
      </c>
      <c r="R10" s="15">
        <f>IF(OR(R$5&gt;$F$10,R$6&lt;$E$10),0,IF($C$1="",3,IF($C$1&gt;R$6,1,IF(AND($C$1&gt;=R$5,$C$1&lt;=R$6),2,3))))</f>
        <v/>
      </c>
      <c r="S10" s="15">
        <f>IF(OR(S$5&gt;$F$10,S$6&lt;$E$10),0,IF($C$1="",3,IF($C$1&gt;S$6,1,IF(AND($C$1&gt;=S$5,$C$1&lt;=S$6),2,3))))</f>
        <v/>
      </c>
      <c r="T10" s="15">
        <f>IF(OR(T$5&gt;$F$10,T$6&lt;$E$10),0,IF($C$1="",3,IF($C$1&gt;T$6,1,IF(AND($C$1&gt;=T$5,$C$1&lt;=T$6),2,3))))</f>
        <v/>
      </c>
      <c r="U10" s="15">
        <f>IF(OR(U$5&gt;$F$10,U$6&lt;$E$10),0,IF($C$1="",3,IF($C$1&gt;U$6,1,IF(AND($C$1&gt;=U$5,$C$1&lt;=U$6),2,3))))</f>
        <v/>
      </c>
      <c r="V10" s="15">
        <f>IF(OR(V$5&gt;$F$10,V$6&lt;$E$10),0,IF($C$1="",3,IF($C$1&gt;V$6,1,IF(AND($C$1&gt;=V$5,$C$1&lt;=V$6),2,3))))</f>
        <v/>
      </c>
      <c r="W10" s="15">
        <f>IF(OR(W$5&gt;$F$10,W$6&lt;$E$10),0,IF($C$1="",3,IF($C$1&gt;W$6,1,IF(AND($C$1&gt;=W$5,$C$1&lt;=W$6),2,3))))</f>
        <v/>
      </c>
      <c r="X10" s="15">
        <f>IF(OR(X$5&gt;$F$10,X$6&lt;$E$10),0,IF($C$1="",3,IF($C$1&gt;X$6,1,IF(AND($C$1&gt;=X$5,$C$1&lt;=X$6),2,3))))</f>
        <v/>
      </c>
      <c r="Y10" s="15">
        <f>IF(OR(Y$5&gt;$F$10,Y$6&lt;$E$10),0,IF($C$1="",3,IF($C$1&gt;Y$6,1,IF(AND($C$1&gt;=Y$5,$C$1&lt;=Y$6),2,3))))</f>
        <v/>
      </c>
      <c r="Z10" s="15">
        <f>IF(OR(Z$5&gt;$F$10,Z$6&lt;$E$10),0,IF($C$1="",3,IF($C$1&gt;Z$6,1,IF(AND($C$1&gt;=Z$5,$C$1&lt;=Z$6),2,3))))</f>
        <v/>
      </c>
      <c r="AA10" s="15">
        <f>IF(OR(AA$5&gt;$F$10,AA$6&lt;$E$10),0,IF($C$1="",3,IF($C$1&gt;AA$6,1,IF(AND($C$1&gt;=AA$5,$C$1&lt;=AA$6),2,3))))</f>
        <v/>
      </c>
      <c r="AB10" s="15">
        <f>IF(OR(AB$5&gt;$F$10,AB$6&lt;$E$10),0,IF($C$1="",3,IF($C$1&gt;AB$6,1,IF(AND($C$1&gt;=AB$5,$C$1&lt;=AB$6),2,3))))</f>
        <v/>
      </c>
      <c r="AC10" s="15">
        <f>IF(OR(AC$5&gt;$F$10,AC$6&lt;$E$10),0,IF($C$1="",3,IF($C$1&gt;AC$6,1,IF(AND($C$1&gt;=AC$5,$C$1&lt;=AC$6),2,3))))</f>
        <v/>
      </c>
      <c r="AD10" s="15">
        <f>IF(OR(AD$5&gt;$F$10,AD$6&lt;$E$10),0,IF($C$1="",3,IF($C$1&gt;AD$6,1,IF(AND($C$1&gt;=AD$5,$C$1&lt;=AD$6),2,3))))</f>
        <v/>
      </c>
      <c r="AE10" s="15">
        <f>IF(OR(AE$5&gt;$F$10,AE$6&lt;$E$10),0,IF($C$1="",3,IF($C$1&gt;AE$6,1,IF(AND($C$1&gt;=AE$5,$C$1&lt;=AE$6),2,3))))</f>
        <v/>
      </c>
      <c r="AF10" s="15">
        <f>IF(OR(AF$5&gt;$F$10,AF$6&lt;$E$10),0,IF($C$1="",3,IF($C$1&gt;AF$6,1,IF(AND($C$1&gt;=AF$5,$C$1&lt;=AF$6),2,3))))</f>
        <v/>
      </c>
    </row>
    <row r="13">
      <c r="A13" s="20" t="inlineStr">
        <is>
          <t>图例：</t>
        </is>
      </c>
      <c r="B13" s="21" t="n"/>
      <c r="C13" s="22" t="inlineStr">
        <is>
          <t>已完成</t>
        </is>
      </c>
      <c r="D13" s="23" t="n"/>
      <c r="E13" s="22" t="inlineStr">
        <is>
          <t>当前周</t>
        </is>
      </c>
      <c r="F13" s="24" t="n"/>
      <c r="G13" s="22" t="inlineStr">
        <is>
          <t>未开始</t>
        </is>
      </c>
      <c r="H13" s="25" t="n"/>
      <c r="I13" s="22" t="inlineStr">
        <is>
          <t>今天</t>
        </is>
      </c>
    </row>
    <row r="15" ht="20" customHeight="1">
      <c r="A15" s="26" t="inlineStr">
        <is>
          <t>使用说明：
1. 修改 C1 单元格的日期（格式：YYYY-MM-DD），甘特图会自动更新进度展示。
2. 完成度根据日期在 [开始日期, 结束日期] 区间内的比例自动计算。
3. 状态根据完成度自动判断：0%=未开始，0%~100%=进行中，100%=已完成。
4. 甘特条颜色：蓝色=已过去的周（已完成），绿色=当前所在周，浅蓝色=未来的周。
5. 红色标记表示"今天"所在的周次。</t>
        </is>
      </c>
    </row>
    <row r="16" ht="20" customHeight="1"/>
    <row r="17" ht="20" customHeight="1"/>
  </sheetData>
  <mergeCells count="18">
    <mergeCell ref="AC3:AF3"/>
    <mergeCell ref="M3:P3"/>
    <mergeCell ref="I3:L3"/>
    <mergeCell ref="C3:C4"/>
    <mergeCell ref="B3:B4"/>
    <mergeCell ref="A3:A4"/>
    <mergeCell ref="E3:E4"/>
    <mergeCell ref="G3:G4"/>
    <mergeCell ref="H3:H4"/>
    <mergeCell ref="F3:F4"/>
    <mergeCell ref="D3:D4"/>
    <mergeCell ref="Q3:T3"/>
    <mergeCell ref="U3:X3"/>
    <mergeCell ref="Y3:AB3"/>
    <mergeCell ref="A1:B1"/>
    <mergeCell ref="D1:F1"/>
    <mergeCell ref="A2:AF2"/>
    <mergeCell ref="A15:AF17"/>
  </mergeCells>
  <conditionalFormatting sqref="I7:AF7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conditionalFormatting sqref="I8:AF8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</conditionalFormatting>
  <conditionalFormatting sqref="I9:AF9">
    <cfRule type="cellIs" priority="7" operator="equal" dxfId="0">
      <formula>1</formula>
    </cfRule>
    <cfRule type="cellIs" priority="8" operator="equal" dxfId="1">
      <formula>2</formula>
    </cfRule>
    <cfRule type="cellIs" priority="9" operator="equal" dxfId="2">
      <formula>3</formula>
    </cfRule>
  </conditionalFormatting>
  <conditionalFormatting sqref="I10:AF10">
    <cfRule type="cellIs" priority="10" operator="equal" dxfId="0">
      <formula>1</formula>
    </cfRule>
    <cfRule type="cellIs" priority="11" operator="equal" dxfId="1">
      <formula>2</formula>
    </cfRule>
    <cfRule type="cellIs" priority="12" operator="equal" dxfId="2">
      <formula>3</formula>
    </cfRule>
  </conditionalFormatting>
  <conditionalFormatting sqref="H7:H10">
    <cfRule type="cellIs" priority="13" operator="equal" dxfId="3">
      <formula>"已完成"</formula>
    </cfRule>
    <cfRule type="cellIs" priority="14" operator="equal" dxfId="4">
      <formula>"进行中"</formula>
    </cfRule>
    <cfRule type="cellIs" priority="15" operator="equal" dxfId="5">
      <formula>"未开始"</formula>
    </cfRule>
  </conditionalFormatting>
  <conditionalFormatting sqref="G7:G10">
    <cfRule type="expression" priority="16" dxfId="6">
      <formula>G7&gt;=1</formula>
    </cfRule>
    <cfRule type="expression" priority="17" dxfId="7">
      <formula>AND(G7&gt;0,G7&lt;1)</formula>
    </cfRule>
  </conditionalFormatting>
  <conditionalFormatting sqref="I4">
    <cfRule type="expression" priority="18" dxfId="8">
      <formula>AND($C$1&gt;=I$5,$C$1&lt;=I$6)</formula>
    </cfRule>
  </conditionalFormatting>
  <conditionalFormatting sqref="J4">
    <cfRule type="expression" priority="19" dxfId="8">
      <formula>AND($C$1&gt;=J$5,$C$1&lt;=J$6)</formula>
    </cfRule>
  </conditionalFormatting>
  <conditionalFormatting sqref="K4">
    <cfRule type="expression" priority="20" dxfId="8">
      <formula>AND($C$1&gt;=K$5,$C$1&lt;=K$6)</formula>
    </cfRule>
  </conditionalFormatting>
  <conditionalFormatting sqref="L4">
    <cfRule type="expression" priority="21" dxfId="8">
      <formula>AND($C$1&gt;=L$5,$C$1&lt;=L$6)</formula>
    </cfRule>
  </conditionalFormatting>
  <conditionalFormatting sqref="M4">
    <cfRule type="expression" priority="22" dxfId="8">
      <formula>AND($C$1&gt;=M$5,$C$1&lt;=M$6)</formula>
    </cfRule>
  </conditionalFormatting>
  <conditionalFormatting sqref="N4">
    <cfRule type="expression" priority="23" dxfId="8">
      <formula>AND($C$1&gt;=N$5,$C$1&lt;=N$6)</formula>
    </cfRule>
  </conditionalFormatting>
  <conditionalFormatting sqref="O4">
    <cfRule type="expression" priority="24" dxfId="8">
      <formula>AND($C$1&gt;=O$5,$C$1&lt;=O$6)</formula>
    </cfRule>
  </conditionalFormatting>
  <conditionalFormatting sqref="P4">
    <cfRule type="expression" priority="25" dxfId="8">
      <formula>AND($C$1&gt;=P$5,$C$1&lt;=P$6)</formula>
    </cfRule>
  </conditionalFormatting>
  <conditionalFormatting sqref="Q4">
    <cfRule type="expression" priority="26" dxfId="8">
      <formula>AND($C$1&gt;=Q$5,$C$1&lt;=Q$6)</formula>
    </cfRule>
  </conditionalFormatting>
  <conditionalFormatting sqref="R4">
    <cfRule type="expression" priority="27" dxfId="8">
      <formula>AND($C$1&gt;=R$5,$C$1&lt;=R$6)</formula>
    </cfRule>
  </conditionalFormatting>
  <conditionalFormatting sqref="S4">
    <cfRule type="expression" priority="28" dxfId="8">
      <formula>AND($C$1&gt;=S$5,$C$1&lt;=S$6)</formula>
    </cfRule>
  </conditionalFormatting>
  <conditionalFormatting sqref="T4">
    <cfRule type="expression" priority="29" dxfId="8">
      <formula>AND($C$1&gt;=T$5,$C$1&lt;=T$6)</formula>
    </cfRule>
  </conditionalFormatting>
  <conditionalFormatting sqref="U4">
    <cfRule type="expression" priority="30" dxfId="8">
      <formula>AND($C$1&gt;=U$5,$C$1&lt;=U$6)</formula>
    </cfRule>
  </conditionalFormatting>
  <conditionalFormatting sqref="V4">
    <cfRule type="expression" priority="31" dxfId="8">
      <formula>AND($C$1&gt;=V$5,$C$1&lt;=V$6)</formula>
    </cfRule>
  </conditionalFormatting>
  <conditionalFormatting sqref="W4">
    <cfRule type="expression" priority="32" dxfId="8">
      <formula>AND($C$1&gt;=W$5,$C$1&lt;=W$6)</formula>
    </cfRule>
  </conditionalFormatting>
  <conditionalFormatting sqref="X4">
    <cfRule type="expression" priority="33" dxfId="8">
      <formula>AND($C$1&gt;=X$5,$C$1&lt;=X$6)</formula>
    </cfRule>
  </conditionalFormatting>
  <conditionalFormatting sqref="Y4">
    <cfRule type="expression" priority="34" dxfId="8">
      <formula>AND($C$1&gt;=Y$5,$C$1&lt;=Y$6)</formula>
    </cfRule>
  </conditionalFormatting>
  <conditionalFormatting sqref="Z4">
    <cfRule type="expression" priority="35" dxfId="8">
      <formula>AND($C$1&gt;=Z$5,$C$1&lt;=Z$6)</formula>
    </cfRule>
  </conditionalFormatting>
  <conditionalFormatting sqref="AA4">
    <cfRule type="expression" priority="36" dxfId="8">
      <formula>AND($C$1&gt;=AA$5,$C$1&lt;=AA$6)</formula>
    </cfRule>
  </conditionalFormatting>
  <conditionalFormatting sqref="AB4">
    <cfRule type="expression" priority="37" dxfId="8">
      <formula>AND($C$1&gt;=AB$5,$C$1&lt;=AB$6)</formula>
    </cfRule>
  </conditionalFormatting>
  <conditionalFormatting sqref="AC4">
    <cfRule type="expression" priority="38" dxfId="8">
      <formula>AND($C$1&gt;=AC$5,$C$1&lt;=AC$6)</formula>
    </cfRule>
  </conditionalFormatting>
  <conditionalFormatting sqref="AD4">
    <cfRule type="expression" priority="39" dxfId="8">
      <formula>AND($C$1&gt;=AD$5,$C$1&lt;=AD$6)</formula>
    </cfRule>
  </conditionalFormatting>
  <conditionalFormatting sqref="AE4">
    <cfRule type="expression" priority="40" dxfId="8">
      <formula>AND($C$1&gt;=AE$5,$C$1&lt;=AE$6)</formula>
    </cfRule>
  </conditionalFormatting>
  <conditionalFormatting sqref="AF4">
    <cfRule type="expression" priority="41" dxfId="8">
      <formula>AND($C$1&gt;=AF$5,$C$1&lt;=AF$6)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2026-04-17T02:44:49Z</dcterms:created>
  <dcterms:modified xsi:type="dcterms:W3CDTF">2026-04-17T02:44:49Z</dcterms:modified>
</cp:coreProperties>
</file>